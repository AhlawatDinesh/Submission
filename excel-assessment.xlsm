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singhania\Downloads\"/>
    </mc:Choice>
  </mc:AlternateContent>
  <bookViews>
    <workbookView xWindow="0" yWindow="0" windowWidth="20490" windowHeight="775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fileRecoveryPr repairLoad="1"/>
</workbook>
</file>

<file path=xl/calcChain.xml><?xml version="1.0" encoding="utf-8"?>
<calcChain xmlns="http://schemas.openxmlformats.org/spreadsheetml/2006/main">
  <c r="C22" i="19" l="1"/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30" i="18" s="1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28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8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9" i="18" s="1"/>
  <c r="D6" i="15"/>
  <c r="Y2" i="15" s="1"/>
  <c r="D5" i="15"/>
  <c r="H41" i="15" s="1"/>
  <c r="F29" i="18" l="1"/>
  <c r="D30" i="18"/>
  <c r="C28" i="18"/>
  <c r="E30" i="18"/>
  <c r="B30" i="18"/>
  <c r="D29" i="18"/>
  <c r="C30" i="18"/>
  <c r="B28" i="18"/>
  <c r="F28" i="18"/>
  <c r="E29" i="18"/>
</calcChain>
</file>

<file path=xl/sharedStrings.xml><?xml version="1.0" encoding="utf-8"?>
<sst xmlns="http://schemas.openxmlformats.org/spreadsheetml/2006/main" count="449" uniqueCount="221">
  <si>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</si>
  <si>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</si>
  <si>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</si>
  <si>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</si>
  <si>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</si>
  <si>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</si>
  <si>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</si>
  <si>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</si>
  <si>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</si>
  <si>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</si>
  <si>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</si>
  <si>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</si>
  <si>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</si>
  <si>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</si>
  <si>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</si>
  <si>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</si>
  <si>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</si>
  <si>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</si>
  <si>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</si>
  <si>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</si>
  <si>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</si>
  <si>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</si>
  <si>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</si>
  <si>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</si>
  <si>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</si>
  <si>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</si>
  <si>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</si>
  <si>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</si>
  <si>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</si>
  <si>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</si>
  <si>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</si>
  <si>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</si>
  <si>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</si>
  <si>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</si>
  <si>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</si>
  <si>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</si>
  <si>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</si>
  <si>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</si>
  <si>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</si>
  <si>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</si>
  <si>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</si>
  <si>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</si>
  <si>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</si>
  <si>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</si>
  <si>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</si>
  <si>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</si>
  <si>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</si>
  <si>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</si>
  <si>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</si>
  <si>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</si>
  <si>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</si>
  <si>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</si>
  <si>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</si>
  <si>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</si>
  <si>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</si>
  <si>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</si>
  <si>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</si>
  <si>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</si>
  <si>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</si>
  <si>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</si>
  <si>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</si>
  <si>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</si>
  <si>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</si>
  <si>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</si>
  <si>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</si>
  <si>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</si>
  <si>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</si>
  <si>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</si>
  <si>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</si>
  <si>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</si>
  <si>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</si>
  <si>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</si>
  <si>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</si>
  <si>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</si>
  <si>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</si>
  <si>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</si>
  <si>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</si>
  <si>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</si>
  <si>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</si>
  <si>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</si>
  <si>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</si>
  <si>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</si>
  <si>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</si>
  <si>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</si>
  <si>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</si>
  <si>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</si>
  <si>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</si>
  <si>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</si>
  <si>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</si>
  <si>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</si>
  <si>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</si>
  <si>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</si>
  <si>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</si>
  <si>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</si>
  <si>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</si>
  <si>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</si>
  <si>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</si>
  <si>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</si>
  <si>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</si>
  <si>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</si>
  <si>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</si>
  <si>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</si>
  <si>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</si>
  <si>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</si>
  <si>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</si>
  <si>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</si>
  <si>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</si>
  <si>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</si>
  <si>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</si>
  <si>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</si>
  <si>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</si>
  <si>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</si>
  <si>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</si>
  <si>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</si>
  <si>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</si>
  <si>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</si>
  <si>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</si>
  <si>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</si>
  <si>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</si>
  <si>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</si>
  <si>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</si>
  <si>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</si>
  <si>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</si>
  <si>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</si>
  <si>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</si>
  <si>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</si>
  <si>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</si>
  <si>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</si>
  <si>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</si>
  <si>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</si>
  <si>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</si>
  <si>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</si>
  <si>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</si>
  <si>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</si>
  <si>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</si>
  <si>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</si>
  <si>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</si>
  <si>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</si>
  <si>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</si>
  <si>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</si>
  <si>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</si>
  <si>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</si>
  <si>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</si>
  <si>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</si>
  <si>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</si>
  <si>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</si>
  <si>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</si>
  <si>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</si>
  <si>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</si>
  <si>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</si>
  <si>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</si>
  <si>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</si>
  <si>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</si>
  <si>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</si>
  <si>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</si>
  <si>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</si>
  <si>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</si>
  <si>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</si>
  <si>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</si>
  <si>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</si>
  <si>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</si>
  <si>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</si>
  <si>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</si>
  <si>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</si>
  <si>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</si>
  <si>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</si>
  <si>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</si>
  <si>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</si>
  <si>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</si>
  <si>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</si>
  <si>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</si>
  <si>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</si>
  <si>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</si>
  <si>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</si>
  <si>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</si>
  <si>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</si>
  <si>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</si>
  <si>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</si>
  <si>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DATE</t>
  </si>
  <si>
    <t>2023-05-05</t>
  </si>
  <si>
    <t>2023-05-02</t>
  </si>
  <si>
    <t>2023-05-09</t>
  </si>
  <si>
    <t>2023-05-13</t>
  </si>
  <si>
    <t>2023-05-30</t>
  </si>
  <si>
    <t>2023-05-11</t>
  </si>
  <si>
    <t>2023-05-06</t>
  </si>
  <si>
    <t>2023-06-21</t>
  </si>
  <si>
    <t>2023-06-15</t>
  </si>
  <si>
    <t>2023-06-27</t>
  </si>
  <si>
    <t>2023-07-09</t>
  </si>
  <si>
    <t>2023-07-03</t>
  </si>
  <si>
    <t>2023-06-18</t>
  </si>
  <si>
    <t>2023-07-06</t>
  </si>
  <si>
    <t>2023-05-17</t>
  </si>
  <si>
    <t>2023-05-25</t>
  </si>
  <si>
    <t>2023-06-08</t>
  </si>
  <si>
    <t>2023-06-22</t>
  </si>
  <si>
    <t>2023-06-14</t>
  </si>
  <si>
    <t>2023-06-02</t>
  </si>
  <si>
    <t>2023-05-29</t>
  </si>
  <si>
    <t>2023-07-07</t>
  </si>
  <si>
    <t>2023-07-11</t>
  </si>
  <si>
    <t>2023-08-04</t>
  </si>
  <si>
    <t>2023-08-08</t>
  </si>
  <si>
    <t>2023-07-01</t>
  </si>
  <si>
    <t>2023-08-15</t>
  </si>
  <si>
    <t>2023-08-12</t>
  </si>
  <si>
    <t>2023-08-19</t>
  </si>
  <si>
    <t>2023-08-05</t>
  </si>
  <si>
    <t>2023-08-28</t>
  </si>
  <si>
    <t>2023-08-24</t>
  </si>
  <si>
    <t>2023-08-22</t>
  </si>
  <si>
    <t>2023-09-10</t>
  </si>
  <si>
    <t xml:space="preserve">resolve this by built in functionality </t>
  </si>
  <si>
    <t>resolve by data tab under this text and coulmn then resolve the case..</t>
  </si>
  <si>
    <t>note:use vlookup for fetching the data in given table</t>
  </si>
  <si>
    <t xml:space="preserve">Use sum if formula </t>
  </si>
  <si>
    <t>Use text formula</t>
  </si>
  <si>
    <t>use conditional formatting</t>
  </si>
  <si>
    <t>use freeze  funtion</t>
  </si>
  <si>
    <t>USE SUMIF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</si>
</sst>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dd/mm/yyyy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8" fillId="5" borderId="0" xfId="0" applyFont="1" applyFill="1"/>
    <xf numFmtId="0" fontId="15" fillId="5" borderId="0" xfId="0" applyFont="1" applyFill="1"/>
    <xf numFmtId="0" fontId="18" fillId="0" borderId="0" xfId="0" applyFont="1"/>
    <xf numFmtId="0" fontId="3" fillId="5" borderId="0" xfId="0" applyFont="1" applyFill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5" t="s">
        <v>172</v>
      </c>
      <c r="B9" s="25" t="s">
        <v>170</v>
      </c>
    </row>
    <row r="10" spans="1:3" x14ac:dyDescent="0.2">
      <c r="A10" s="34" t="s">
        <v>173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zoomScaleNormal="100" workbookViewId="0">
      <pane ySplit="1" topLeftCell="A2" activePane="bottomLeft" state="frozen"/>
      <selection pane="bottomLeft" activeCell="Y1" sqref="Y1:Y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25" width="9.83203125" style="1" bestFit="1" customWidth="1"/>
    <col min="27" max="16384" width="9" style="1"/>
  </cols>
  <sheetData>
    <row r="1" spans="1:25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  <c r="Y1" s="3" t="s">
        <v>178</v>
      </c>
    </row>
    <row r="2" spans="1:25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">
        <v>179</v>
      </c>
    </row>
    <row r="3" spans="1:25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">
        <v>180</v>
      </c>
    </row>
    <row r="4" spans="1:25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">
        <v>181</v>
      </c>
    </row>
    <row r="5" spans="1:25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">
        <v>182</v>
      </c>
    </row>
    <row r="6" spans="1:25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">
        <v>183</v>
      </c>
    </row>
    <row r="7" spans="1:25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">
        <v>184</v>
      </c>
    </row>
    <row r="8" spans="1:25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">
        <v>185</v>
      </c>
    </row>
    <row r="9" spans="1:25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">
        <v>186</v>
      </c>
    </row>
    <row r="10" spans="1:25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">
        <v>187</v>
      </c>
    </row>
    <row r="11" spans="1:25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">
        <v>188</v>
      </c>
    </row>
    <row r="12" spans="1:25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">
        <v>189</v>
      </c>
    </row>
    <row r="13" spans="1:25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">
        <v>190</v>
      </c>
    </row>
    <row r="14" spans="1:25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">
        <v>191</v>
      </c>
    </row>
    <row r="15" spans="1:25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">
        <v>192</v>
      </c>
    </row>
    <row r="16" spans="1:25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">
        <v>193</v>
      </c>
    </row>
    <row r="17" spans="1:25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">
        <v>194</v>
      </c>
    </row>
    <row r="18" spans="1:25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">
        <v>195</v>
      </c>
    </row>
    <row r="19" spans="1:25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">
        <v>196</v>
      </c>
    </row>
    <row r="20" spans="1:25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">
        <v>197</v>
      </c>
    </row>
    <row r="21" spans="1:25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">
        <v>198</v>
      </c>
    </row>
    <row r="22" spans="1:25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">
        <v>199</v>
      </c>
    </row>
    <row r="23" spans="1:25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">
        <v>190</v>
      </c>
    </row>
    <row r="24" spans="1:25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">
        <v>200</v>
      </c>
    </row>
    <row r="25" spans="1:25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">
        <v>201</v>
      </c>
    </row>
    <row r="26" spans="1:25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">
        <v>202</v>
      </c>
    </row>
    <row r="27" spans="1:25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">
        <v>203</v>
      </c>
    </row>
    <row r="28" spans="1:25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">
        <v>204</v>
      </c>
    </row>
    <row r="29" spans="1:25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">
        <v>205</v>
      </c>
    </row>
    <row r="30" spans="1:25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">
        <v>206</v>
      </c>
    </row>
    <row r="31" spans="1:25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">
        <v>207</v>
      </c>
    </row>
    <row r="32" spans="1:25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">
        <v>208</v>
      </c>
    </row>
    <row r="33" spans="1:25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">
        <v>209</v>
      </c>
    </row>
    <row r="34" spans="1:25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">
        <v>210</v>
      </c>
    </row>
    <row r="35" spans="1:25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">
        <v>211</v>
      </c>
    </row>
    <row r="36" spans="1:25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">
        <v>212</v>
      </c>
    </row>
    <row r="37" spans="1:25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">
        <v>207</v>
      </c>
    </row>
    <row r="38" spans="1:25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">
        <v>208</v>
      </c>
    </row>
    <row r="39" spans="1:25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">
        <v>209</v>
      </c>
    </row>
    <row r="40" spans="1:25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">
        <v>210</v>
      </c>
    </row>
    <row r="41" spans="1:25" x14ac:dyDescent="0.25">
      <c r="H41" s="1"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X40">
    <cfRule type="cellIs" dxfId="2" priority="1" operator="equal">
      <formula>-1</formula>
    </cfRule>
    <cfRule type="cellIs" dxfId="1" priority="2" operator="equal">
      <formula>0</formula>
    </cfRule>
    <cfRule type="cellIs" dxfId="0" priority="3" operator="equal">
      <formula>"o"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1"/>
  <sheetViews>
    <sheetView zoomScaleNormal="100" workbookViewId="0">
      <selection activeCell="F4" sqref="F4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2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25" x14ac:dyDescent="0.25">
      <c r="A2" s="2"/>
      <c r="B2" s="5" t="s">
        <v>161</v>
      </c>
      <c r="C2" s="2"/>
      <c r="Y2" s="1" t="b">
        <f>Task_1!D6=TEXT(X1:X40, "YYYY-MM-DD")</f>
        <v>1</v>
      </c>
    </row>
    <row r="3" spans="1:25" x14ac:dyDescent="0.25">
      <c r="A3" s="6">
        <v>1</v>
      </c>
      <c r="B3" s="2" t="s">
        <v>108</v>
      </c>
      <c r="C3" s="2" t="s">
        <v>45</v>
      </c>
      <c r="E3" s="1">
        <v>5</v>
      </c>
      <c r="F3" s="1" t="s">
        <v>218</v>
      </c>
    </row>
    <row r="4" spans="1:25" x14ac:dyDescent="0.25">
      <c r="A4" s="6">
        <v>2</v>
      </c>
      <c r="B4" s="2" t="s">
        <v>46</v>
      </c>
      <c r="C4" s="2"/>
      <c r="E4" s="1">
        <v>5</v>
      </c>
      <c r="F4" s="1" t="s">
        <v>219</v>
      </c>
    </row>
    <row r="5" spans="1:25" x14ac:dyDescent="0.25">
      <c r="A5" s="6">
        <v>3</v>
      </c>
      <c r="B5" s="2" t="s">
        <v>104</v>
      </c>
      <c r="C5" s="33" t="s">
        <v>105</v>
      </c>
      <c r="D5" s="1">
        <f>SUMIF(H2:H40,"&gt;20")</f>
        <v>0</v>
      </c>
      <c r="E5" s="1">
        <v>10</v>
      </c>
      <c r="F5" s="1" t="s">
        <v>216</v>
      </c>
    </row>
    <row r="6" spans="1:25" x14ac:dyDescent="0.25">
      <c r="A6" s="6">
        <v>4</v>
      </c>
      <c r="B6" s="2" t="s">
        <v>107</v>
      </c>
      <c r="C6" s="2"/>
      <c r="D6" s="1" t="str">
        <f>TEXT(C5:C44, "YYYY-MM-DD")</f>
        <v>1900-01-00</v>
      </c>
      <c r="E6" s="1">
        <v>5</v>
      </c>
      <c r="F6" s="1" t="s">
        <v>217</v>
      </c>
    </row>
    <row r="7" spans="1:25" x14ac:dyDescent="0.25">
      <c r="A7" s="2"/>
      <c r="B7" s="2"/>
      <c r="C7" s="2"/>
    </row>
    <row r="13" spans="1:25" x14ac:dyDescent="0.25">
      <c r="E13" s="2"/>
    </row>
    <row r="14" spans="1:25" x14ac:dyDescent="0.25">
      <c r="E14" s="2"/>
    </row>
    <row r="41" spans="8:8" x14ac:dyDescent="0.25">
      <c r="H41" s="1" t="b">
        <f>Task_1!D5=SUMIF(H2:H40,"&gt;20")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zoomScaleNormal="100" workbookViewId="0">
      <selection activeCell="I4" sqref="I4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9" s="40" customFormat="1" ht="21" x14ac:dyDescent="0.35">
      <c r="A1" s="41" t="s">
        <v>55</v>
      </c>
      <c r="B1" s="40" t="s">
        <v>165</v>
      </c>
    </row>
    <row r="2" spans="1:9" s="40" customFormat="1" ht="21" x14ac:dyDescent="0.35">
      <c r="B2" s="40" t="s">
        <v>162</v>
      </c>
    </row>
    <row r="3" spans="1:9" ht="15" x14ac:dyDescent="0.25">
      <c r="A3" s="1"/>
      <c r="B3" s="1"/>
      <c r="C3" s="1"/>
      <c r="D3" s="1"/>
      <c r="E3" s="1"/>
      <c r="F3" s="1"/>
      <c r="G3" s="1"/>
    </row>
    <row r="4" spans="1:9" ht="23.25" x14ac:dyDescent="0.35">
      <c r="A4" s="17" t="s">
        <v>163</v>
      </c>
      <c r="B4" s="1"/>
      <c r="C4" s="1"/>
      <c r="D4" s="1"/>
      <c r="E4" s="1"/>
      <c r="F4" s="1"/>
      <c r="G4" s="1"/>
      <c r="I4" s="45" t="s">
        <v>215</v>
      </c>
    </row>
    <row r="5" spans="1:9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9" ht="15" x14ac:dyDescent="0.25">
      <c r="A6" s="7" t="s">
        <v>40</v>
      </c>
      <c r="B6" s="11">
        <f>VLOOKUP(A6,Dataset!A1:Y40,7,0)</f>
        <v>2.7</v>
      </c>
      <c r="C6" s="11">
        <f>VLOOKUP(A6,Dataset!A1:Y40,14,0)</f>
        <v>7.6</v>
      </c>
      <c r="D6" s="11">
        <f>VLOOKUP(A6,Dataset!A1:Y40,18,0)</f>
        <v>4.2</v>
      </c>
      <c r="E6" s="11">
        <f>VLOOKUP(A6,Dataset!A1:Y40,20,0)</f>
        <v>8.9</v>
      </c>
      <c r="F6" s="11">
        <f>VLOOKUP(A6,Dataset!A1:Y40,22,0)</f>
        <v>4.2</v>
      </c>
    </row>
    <row r="7" spans="1:9" ht="15" x14ac:dyDescent="0.25">
      <c r="A7" s="7" t="s">
        <v>4</v>
      </c>
      <c r="B7" s="11">
        <f>VLOOKUP(A7,Dataset!A2:Y41,7,0)</f>
        <v>2.7</v>
      </c>
      <c r="C7" s="11">
        <f>VLOOKUP(A7,Dataset!A2:Y41,14,0)</f>
        <v>7.6</v>
      </c>
      <c r="D7" s="11">
        <f>VLOOKUP(A7,Dataset!A2:Y41,18,0)</f>
        <v>4.2</v>
      </c>
      <c r="E7" s="11">
        <f>VLOOKUP(A7,Dataset!A2:Y41,20,0)</f>
        <v>8.9</v>
      </c>
      <c r="F7" s="11">
        <f>VLOOKUP(A7,Dataset!A2:Y41,22,0)</f>
        <v>4.2</v>
      </c>
    </row>
    <row r="8" spans="1:9" ht="15" x14ac:dyDescent="0.25">
      <c r="A8" s="7" t="s">
        <v>7</v>
      </c>
      <c r="B8" s="11">
        <f>VLOOKUP(A8,Dataset!A3:Y42,7,0)</f>
        <v>3.6</v>
      </c>
      <c r="C8" s="11">
        <f>VLOOKUP(A8,Dataset!A3:Y42,14,0)</f>
        <v>11.1</v>
      </c>
      <c r="D8" s="11">
        <f>VLOOKUP(A8,Dataset!A3:Y42,18,0)</f>
        <v>5.8</v>
      </c>
      <c r="E8" s="11">
        <f>VLOOKUP(A8,Dataset!A3:Y42,20,0)</f>
        <v>12.2</v>
      </c>
      <c r="F8" s="11">
        <f>VLOOKUP(A8,Dataset!A3:Y42,22,0)</f>
        <v>5.8</v>
      </c>
    </row>
    <row r="9" spans="1:9" ht="15" x14ac:dyDescent="0.25">
      <c r="A9" s="7" t="s">
        <v>8</v>
      </c>
      <c r="B9" s="11">
        <f>VLOOKUP(A9,Dataset!A4:Y43,7,0)</f>
        <v>4.9000000000000004</v>
      </c>
      <c r="C9" s="11">
        <f>VLOOKUP(A9,Dataset!A4:Y43,14,0)</f>
        <v>13.3</v>
      </c>
      <c r="D9" s="11">
        <f>VLOOKUP(A9,Dataset!A4:Y43,18,0)</f>
        <v>8.1</v>
      </c>
      <c r="E9" s="11">
        <f>VLOOKUP(A9,Dataset!A4:Y43,20,0)</f>
        <v>17</v>
      </c>
      <c r="F9" s="11">
        <f>VLOOKUP(A9,Dataset!A4:Y43,22,0)</f>
        <v>8.1</v>
      </c>
    </row>
    <row r="10" spans="1:9" ht="15" x14ac:dyDescent="0.25">
      <c r="A10" s="7" t="s">
        <v>11</v>
      </c>
      <c r="B10" s="11">
        <f>VLOOKUP(A10,Dataset!A5:Y44,7,0)</f>
        <v>9.4</v>
      </c>
      <c r="C10" s="11">
        <f>VLOOKUP(A10,Dataset!A5:Y44,14,0)</f>
        <v>28.3</v>
      </c>
      <c r="D10" s="11">
        <f>VLOOKUP(A10,Dataset!A5:Y44,18,0)</f>
        <v>16.100000000000001</v>
      </c>
      <c r="E10" s="11">
        <f>VLOOKUP(A10,Dataset!A5:Y44,20,0)</f>
        <v>32.799999999999997</v>
      </c>
      <c r="F10" s="11">
        <f>VLOOKUP(A10,Dataset!A5:Y44,22,0)</f>
        <v>16.100000000000001</v>
      </c>
    </row>
    <row r="11" spans="1:9" ht="15" x14ac:dyDescent="0.25">
      <c r="A11" s="7" t="s">
        <v>12</v>
      </c>
      <c r="B11" s="11">
        <f>VLOOKUP(A11,Dataset!A6:Y45,7,0)</f>
        <v>11.6</v>
      </c>
      <c r="C11" s="11">
        <f>VLOOKUP(A11,Dataset!A6:Y45,14,0)</f>
        <v>35.200000000000003</v>
      </c>
      <c r="D11" s="11">
        <f>VLOOKUP(A11,Dataset!A6:Y45,18,0)</f>
        <v>21.3</v>
      </c>
      <c r="E11" s="11">
        <f>VLOOKUP(A11,Dataset!A6:Y45,20,0)</f>
        <v>43</v>
      </c>
      <c r="F11" s="11">
        <f>VLOOKUP(A11,Dataset!A6:Y45,22,0)</f>
        <v>21.3</v>
      </c>
    </row>
    <row r="12" spans="1:9" ht="15" x14ac:dyDescent="0.25">
      <c r="A12" s="7" t="s">
        <v>14</v>
      </c>
      <c r="B12" s="11">
        <f>VLOOKUP(A12,Dataset!A7:Y46,7,0)</f>
        <v>18.399999999999999</v>
      </c>
      <c r="C12" s="11">
        <f>VLOOKUP(A12,Dataset!A7:Y46,14,0)</f>
        <v>55.6</v>
      </c>
      <c r="D12" s="11">
        <f>VLOOKUP(A12,Dataset!A7:Y46,18,0)</f>
        <v>33.799999999999997</v>
      </c>
      <c r="E12" s="11">
        <f>VLOOKUP(A12,Dataset!A7:Y46,20,0)</f>
        <v>67.900000000000006</v>
      </c>
      <c r="F12" s="11">
        <f>VLOOKUP(A12,Dataset!A7:Y46,22,0)</f>
        <v>33.799999999999997</v>
      </c>
    </row>
    <row r="13" spans="1:9" ht="15" x14ac:dyDescent="0.25">
      <c r="A13" s="7" t="s">
        <v>15</v>
      </c>
      <c r="B13" s="11">
        <f>VLOOKUP(A13,Dataset!A8:Y47,7,0)</f>
        <v>0</v>
      </c>
      <c r="C13" s="11">
        <f>VLOOKUP(A13,Dataset!A8:Y47,14,0)</f>
        <v>0</v>
      </c>
      <c r="D13" s="11">
        <f>VLOOKUP(A13,Dataset!A8:Y47,18,0)</f>
        <v>0</v>
      </c>
      <c r="E13" s="11">
        <f>VLOOKUP(A13,Dataset!A8:Y47,20,0)</f>
        <v>0</v>
      </c>
      <c r="F13" s="11">
        <f>VLOOKUP(A13,Dataset!A8:Y47,22,0)</f>
        <v>0</v>
      </c>
    </row>
    <row r="14" spans="1:9" ht="15" x14ac:dyDescent="0.25">
      <c r="A14" s="7" t="s">
        <v>16</v>
      </c>
      <c r="B14" s="11">
        <f>VLOOKUP(A14,Dataset!A9:Y48,7,0)</f>
        <v>21.9</v>
      </c>
      <c r="C14" s="11">
        <f>VLOOKUP(A14,Dataset!A9:Y48,14,0)</f>
        <v>61.5</v>
      </c>
      <c r="D14" s="11">
        <f>VLOOKUP(A14,Dataset!A9:Y48,18,0)</f>
        <v>40.1</v>
      </c>
      <c r="E14" s="11">
        <f>VLOOKUP(A14,Dataset!A9:Y48,20,0)</f>
        <v>76.599999999999994</v>
      </c>
      <c r="F14" s="11">
        <f>VLOOKUP(A14,Dataset!A9:Y48,22,0)</f>
        <v>40.1</v>
      </c>
    </row>
    <row r="15" spans="1:9" ht="15" x14ac:dyDescent="0.25">
      <c r="A15" s="7" t="s">
        <v>18</v>
      </c>
      <c r="B15" s="11">
        <f>VLOOKUP(A15,Dataset!A10:Y49,7,0)</f>
        <v>26.8</v>
      </c>
      <c r="C15" s="11">
        <f>VLOOKUP(A15,Dataset!A10:Y49,14,0)</f>
        <v>79.599999999999994</v>
      </c>
      <c r="D15" s="11">
        <f>VLOOKUP(A15,Dataset!A10:Y49,18,0)</f>
        <v>47.9</v>
      </c>
      <c r="E15" s="11">
        <f>VLOOKUP(A15,Dataset!A10:Y49,20,0)</f>
        <v>96.8</v>
      </c>
      <c r="F15" s="11">
        <f>VLOOKUP(A15,Dataset!A10:Y49,22,0)</f>
        <v>47.9</v>
      </c>
    </row>
    <row r="16" spans="1:9" ht="15" x14ac:dyDescent="0.25">
      <c r="A16" s="7" t="s">
        <v>20</v>
      </c>
      <c r="B16" s="11">
        <f>VLOOKUP(A16,Dataset!A11:Y50,7,0)</f>
        <v>28.5</v>
      </c>
      <c r="C16" s="11">
        <f>VLOOKUP(A16,Dataset!A11:Y50,14,0)</f>
        <v>85.4</v>
      </c>
      <c r="D16" s="11">
        <f>VLOOKUP(A16,Dataset!A11:Y50,18,0)</f>
        <v>52.3</v>
      </c>
      <c r="E16" s="11">
        <f>VLOOKUP(A16,Dataset!A11:Y50,20,0)</f>
        <v>106.1</v>
      </c>
      <c r="F16" s="11">
        <f>VLOOKUP(A16,Dataset!A11:Y50,22,0)</f>
        <v>52.3</v>
      </c>
    </row>
    <row r="17" spans="1:6" ht="15" x14ac:dyDescent="0.25">
      <c r="A17" s="7" t="s">
        <v>22</v>
      </c>
      <c r="B17" s="11">
        <f>VLOOKUP(A17,Dataset!A12:Y51,7,0)</f>
        <v>30.7</v>
      </c>
      <c r="C17" s="11">
        <f>VLOOKUP(A17,Dataset!A12:Y51,14,0)</f>
        <v>92.1</v>
      </c>
      <c r="D17" s="11">
        <f>VLOOKUP(A17,Dataset!A12:Y51,18,0)</f>
        <v>57</v>
      </c>
      <c r="E17" s="11">
        <f>VLOOKUP(A17,Dataset!A12:Y51,20,0)</f>
        <v>115.1</v>
      </c>
      <c r="F17" s="11">
        <f>VLOOKUP(A17,Dataset!A12:Y51,22,0)</f>
        <v>57</v>
      </c>
    </row>
    <row r="18" spans="1:6" ht="15" x14ac:dyDescent="0.25">
      <c r="A18" s="7" t="s">
        <v>23</v>
      </c>
      <c r="B18" s="11">
        <f>VLOOKUP(A18,Dataset!A13:Y52,7,0)</f>
        <v>33.799999999999997</v>
      </c>
      <c r="C18" s="11">
        <f>VLOOKUP(A18,Dataset!A13:Y52,14,0)</f>
        <v>101.3</v>
      </c>
      <c r="D18" s="11">
        <f>VLOOKUP(A18,Dataset!A13:Y52,18,0)</f>
        <v>61.4</v>
      </c>
      <c r="E18" s="11">
        <f>VLOOKUP(A18,Dataset!A13:Y52,20,0)</f>
        <v>124.4</v>
      </c>
      <c r="F18" s="11">
        <f>VLOOKUP(A18,Dataset!A13:Y52,22,0)</f>
        <v>61.4</v>
      </c>
    </row>
    <row r="19" spans="1:6" ht="15" x14ac:dyDescent="0.25">
      <c r="A19" s="7" t="s">
        <v>24</v>
      </c>
      <c r="B19" s="11">
        <f>VLOOKUP(A19,Dataset!A14:Y53,7,0)</f>
        <v>34.700000000000003</v>
      </c>
      <c r="C19" s="11">
        <f>VLOOKUP(A19,Dataset!A14:Y53,14,0)</f>
        <v>106.1</v>
      </c>
      <c r="D19" s="11">
        <f>VLOOKUP(A19,Dataset!A14:Y53,18,0)</f>
        <v>63.6</v>
      </c>
      <c r="E19" s="11">
        <f>VLOOKUP(A19,Dataset!A14:Y53,20,0)</f>
        <v>128.6</v>
      </c>
      <c r="F19" s="11">
        <f>VLOOKUP(A19,Dataset!A14:Y53,22,0)</f>
        <v>63.6</v>
      </c>
    </row>
    <row r="20" spans="1:6" ht="15" x14ac:dyDescent="0.25">
      <c r="A20" s="7" t="s">
        <v>28</v>
      </c>
      <c r="B20" s="11">
        <f>VLOOKUP(A20,Dataset!A15:Y54,7,0)</f>
        <v>0</v>
      </c>
      <c r="C20" s="11">
        <f>VLOOKUP(A20,Dataset!A15:Y54,14,0)</f>
        <v>0</v>
      </c>
      <c r="D20" s="11">
        <f>VLOOKUP(A20,Dataset!A15:Y54,18,0)</f>
        <v>0</v>
      </c>
      <c r="E20" s="11">
        <f>VLOOKUP(A20,Dataset!A15:Y54,20,0)</f>
        <v>0</v>
      </c>
      <c r="F20" s="11">
        <f>VLOOKUP(A20,Dataset!A15:Y54,22,0)</f>
        <v>0</v>
      </c>
    </row>
    <row r="21" spans="1:6" ht="15" x14ac:dyDescent="0.25">
      <c r="A21" s="7" t="s">
        <v>57</v>
      </c>
      <c r="B21" s="11">
        <f>VLOOKUP(A21,Dataset!A16:Y55,7,0)</f>
        <v>41.3</v>
      </c>
      <c r="C21" s="11">
        <f>VLOOKUP(A21,Dataset!A16:Y55,14,0)</f>
        <v>124.4</v>
      </c>
      <c r="D21" s="11">
        <f>VLOOKUP(A21,Dataset!A16:Y55,18,0)</f>
        <v>75</v>
      </c>
      <c r="E21" s="11">
        <f>VLOOKUP(A21,Dataset!A16:Y55,20,0)</f>
        <v>151.5</v>
      </c>
      <c r="F21" s="11">
        <f>VLOOKUP(A21,Dataset!A16:Y55,22,0)</f>
        <v>75</v>
      </c>
    </row>
    <row r="22" spans="1:6" ht="15" x14ac:dyDescent="0.25">
      <c r="A22" s="7" t="s">
        <v>58</v>
      </c>
      <c r="B22" s="11">
        <f>VLOOKUP(A22,Dataset!A17:Y56,7,0)</f>
        <v>-1</v>
      </c>
      <c r="C22" s="11">
        <f>VLOOKUP(A22,Dataset!A17:Y56,14,0)</f>
        <v>-1</v>
      </c>
      <c r="D22" s="11">
        <f>VLOOKUP(A22,Dataset!A17:Y56,18,0)</f>
        <v>-1</v>
      </c>
      <c r="E22" s="11">
        <f>VLOOKUP(A22,Dataset!A17:Y56,20,0)</f>
        <v>-1</v>
      </c>
      <c r="F22" s="11">
        <f>VLOOKUP(A22,Dataset!A17:Y56,22,0)</f>
        <v>-1</v>
      </c>
    </row>
    <row r="23" spans="1:6" ht="15" x14ac:dyDescent="0.25">
      <c r="A23" s="7" t="s">
        <v>31</v>
      </c>
      <c r="B23" s="11">
        <f>VLOOKUP(A23,Dataset!A18:Y57,7,0)</f>
        <v>45</v>
      </c>
      <c r="C23" s="11">
        <f>VLOOKUP(A23,Dataset!A18:Y57,14,0)</f>
        <v>133.4</v>
      </c>
      <c r="D23" s="11">
        <f>VLOOKUP(A23,Dataset!A18:Y57,18,0)</f>
        <v>79.400000000000006</v>
      </c>
      <c r="E23" s="11">
        <f>VLOOKUP(A23,Dataset!A18:Y57,20,0)</f>
        <v>160.9</v>
      </c>
      <c r="F23" s="11">
        <f>VLOOKUP(A23,Dataset!A18:Y57,22,0)</f>
        <v>79.400000000000006</v>
      </c>
    </row>
    <row r="24" spans="1:6" ht="15" x14ac:dyDescent="0.25">
      <c r="A24" s="7" t="s">
        <v>32</v>
      </c>
      <c r="B24" s="11">
        <f>VLOOKUP(A24,Dataset!A19:Y58,7,0)</f>
        <v>-1</v>
      </c>
      <c r="C24" s="11">
        <f>VLOOKUP(A24,Dataset!A19:Y58,14,0)</f>
        <v>-1</v>
      </c>
      <c r="D24" s="11">
        <f>VLOOKUP(A24,Dataset!A19:Y58,18,0)</f>
        <v>-1</v>
      </c>
      <c r="E24" s="11">
        <f>VLOOKUP(A24,Dataset!A19:Y58,20,0)</f>
        <v>-1</v>
      </c>
      <c r="F24" s="11">
        <f>VLOOKUP(A24,Dataset!A19:Y58,22,0)</f>
        <v>-1</v>
      </c>
    </row>
    <row r="25" spans="1:6" ht="15" x14ac:dyDescent="0.25">
      <c r="A25" s="7" t="s">
        <v>34</v>
      </c>
      <c r="B25" s="11">
        <f>VLOOKUP(A25,Dataset!A20:Y59,7,0)</f>
        <v>43.3</v>
      </c>
      <c r="C25" s="11">
        <f>VLOOKUP(A25,Dataset!A20:Y59,14,0)</f>
        <v>128.6</v>
      </c>
      <c r="D25" s="11">
        <f>VLOOKUP(A25,Dataset!A20:Y59,18,0)</f>
        <v>79.400000000000006</v>
      </c>
      <c r="E25" s="11">
        <f>VLOOKUP(A25,Dataset!A20:Y59,20,0)</f>
        <v>160.9</v>
      </c>
      <c r="F25" s="11">
        <f>VLOOKUP(A25,Dataset!A20:Y59,22,0)</f>
        <v>79.400000000000006</v>
      </c>
    </row>
    <row r="26" spans="1:6" ht="15" x14ac:dyDescent="0.25">
      <c r="A26" s="7" t="s">
        <v>37</v>
      </c>
      <c r="B26" s="11">
        <f>VLOOKUP(A26,Dataset!A21:Y60,7,0)</f>
        <v>49.1</v>
      </c>
      <c r="C26" s="11">
        <f>VLOOKUP(A26,Dataset!A21:Y60,14,0)</f>
        <v>146.80000000000001</v>
      </c>
      <c r="D26" s="11">
        <f>VLOOKUP(A26,Dataset!A21:Y60,18,0)</f>
        <v>90.9</v>
      </c>
      <c r="E26" s="11">
        <f>VLOOKUP(A26,Dataset!A21:Y60,20,0)</f>
        <v>183.5</v>
      </c>
      <c r="F26" s="11">
        <f>VLOOKUP(A26,Dataset!A21:Y60,22,0)</f>
        <v>90.9</v>
      </c>
    </row>
    <row r="27" spans="1:6" ht="15" x14ac:dyDescent="0.25">
      <c r="A27" s="7" t="s">
        <v>39</v>
      </c>
      <c r="B27" s="11">
        <f>VLOOKUP(A27,Dataset!A22:Y61,7,0)</f>
        <v>51.8</v>
      </c>
      <c r="C27" s="11">
        <f>VLOOKUP(A27,Dataset!A22:Y61,14,0)</f>
        <v>156.4</v>
      </c>
      <c r="D27" s="11">
        <f>VLOOKUP(A27,Dataset!A22:Y61,18,0)</f>
        <v>93.1</v>
      </c>
      <c r="E27" s="11">
        <f>VLOOKUP(A27,Dataset!A22:Y61,20,0)</f>
        <v>188.1</v>
      </c>
      <c r="F27" s="11">
        <f>VLOOKUP(A27,Dataset!A22:Y61,22,0)</f>
        <v>93.1</v>
      </c>
    </row>
    <row r="28" spans="1:6" ht="15" x14ac:dyDescent="0.25">
      <c r="A28" s="18" t="s">
        <v>82</v>
      </c>
      <c r="B28" s="11">
        <f>MIN(B6,B27)</f>
        <v>2.7</v>
      </c>
      <c r="C28" s="11">
        <f>MIN(C6,C27)</f>
        <v>7.6</v>
      </c>
      <c r="D28" s="11">
        <f>MIN(D6,D27)</f>
        <v>4.2</v>
      </c>
      <c r="E28" s="11">
        <f>MIN(E6,E27)</f>
        <v>8.9</v>
      </c>
      <c r="F28" s="11">
        <f>MIN(F6,F27)</f>
        <v>4.2</v>
      </c>
    </row>
    <row r="29" spans="1:6" ht="15" x14ac:dyDescent="0.25">
      <c r="A29" s="18" t="s">
        <v>83</v>
      </c>
      <c r="B29" s="11">
        <f>MAX(B6,B27)</f>
        <v>51.8</v>
      </c>
      <c r="C29" s="11">
        <f>MAX(C6,C27)</f>
        <v>156.4</v>
      </c>
      <c r="D29" s="11">
        <f>MAX(D6,D27)</f>
        <v>93.1</v>
      </c>
      <c r="E29" s="11">
        <f>MAX(E6,E27)</f>
        <v>188.1</v>
      </c>
      <c r="F29" s="11">
        <f>MAX(F6,F27)</f>
        <v>93.1</v>
      </c>
    </row>
    <row r="30" spans="1:6" ht="15" x14ac:dyDescent="0.25">
      <c r="A30" s="18" t="s">
        <v>84</v>
      </c>
      <c r="B30" s="11">
        <f>AVERAGE(B6,B27)</f>
        <v>27.25</v>
      </c>
      <c r="C30" s="11">
        <f>AVERAGE(C6,C27)</f>
        <v>82</v>
      </c>
      <c r="D30" s="11">
        <f>AVERAGE(D6,D27)</f>
        <v>48.65</v>
      </c>
      <c r="E30" s="11">
        <f>AVERAGE(E6,E27)</f>
        <v>98.5</v>
      </c>
      <c r="F30" s="11">
        <f>AVERAGE(F6,F27)</f>
        <v>48.65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6" sqref="B5: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2" t="s">
        <v>53</v>
      </c>
      <c r="B5" s="46" t="s">
        <v>213</v>
      </c>
    </row>
    <row r="6" spans="1:10" ht="18.75" x14ac:dyDescent="0.3">
      <c r="A6" s="42" t="s">
        <v>154</v>
      </c>
      <c r="B6" s="46" t="s">
        <v>214</v>
      </c>
    </row>
    <row r="7" spans="1:10" ht="18.75" x14ac:dyDescent="0.3">
      <c r="A7" s="42"/>
      <c r="B7" s="39"/>
    </row>
    <row r="9" spans="1:10" ht="23.25" x14ac:dyDescent="0.35">
      <c r="A9" s="17" t="s">
        <v>166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163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122</v>
      </c>
      <c r="B16" s="11">
        <v>20000</v>
      </c>
      <c r="C16" s="11" t="s">
        <v>5</v>
      </c>
      <c r="D16" s="11">
        <v>0</v>
      </c>
      <c r="E16" s="11" t="s">
        <v>6</v>
      </c>
      <c r="F16" s="11">
        <v>24</v>
      </c>
    </row>
    <row r="17" spans="1:6" x14ac:dyDescent="0.25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168</v>
      </c>
    </row>
    <row r="2" spans="1:3" ht="18.75" x14ac:dyDescent="0.3">
      <c r="B2" s="39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48" t="s">
        <v>220</v>
      </c>
    </row>
    <row r="7" spans="1:3" ht="15" x14ac:dyDescent="0.25">
      <c r="A7" s="3" t="s">
        <v>154</v>
      </c>
      <c r="B7" s="1"/>
    </row>
    <row r="10" spans="1:3" ht="23.25" x14ac:dyDescent="0.35">
      <c r="A10" s="17" t="s">
        <v>163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155</v>
      </c>
      <c r="C17" s="16">
        <v>150</v>
      </c>
    </row>
    <row r="18" spans="1:3" ht="15" x14ac:dyDescent="0.25">
      <c r="A18" s="31">
        <v>44933</v>
      </c>
      <c r="B18" s="16" t="s">
        <v>156</v>
      </c>
      <c r="C18" s="16">
        <v>80</v>
      </c>
    </row>
    <row r="19" spans="1:3" ht="15" x14ac:dyDescent="0.25">
      <c r="A19" s="31">
        <v>44934</v>
      </c>
      <c r="B19" s="16" t="s">
        <v>157</v>
      </c>
      <c r="C19" s="16" t="e">
        <v>#N/A</v>
      </c>
    </row>
    <row r="20" spans="1:3" ht="15" x14ac:dyDescent="0.25">
      <c r="A20" s="31">
        <v>44935</v>
      </c>
      <c r="B20" s="16" t="s">
        <v>158</v>
      </c>
      <c r="C20" s="16">
        <v>30</v>
      </c>
    </row>
    <row r="21" spans="1:3" ht="15" x14ac:dyDescent="0.25">
      <c r="A21" s="31">
        <v>44936</v>
      </c>
      <c r="B21" s="16" t="s">
        <v>159</v>
      </c>
      <c r="C21" s="16" t="e">
        <v>#N/A</v>
      </c>
    </row>
    <row r="22" spans="1:3" ht="15" x14ac:dyDescent="0.25">
      <c r="B22" s="16" t="s">
        <v>160</v>
      </c>
      <c r="C22" s="24">
        <f>SUMIF(C12:C21,"&gt;20")</f>
        <v>510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3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176</v>
      </c>
    </row>
    <row r="3" spans="1:14" ht="15" x14ac:dyDescent="0.25">
      <c r="B3" s="1" t="s">
        <v>152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154</v>
      </c>
      <c r="B5" s="1"/>
    </row>
    <row r="6" spans="1:14" ht="15" x14ac:dyDescent="0.25">
      <c r="A6" s="3"/>
      <c r="B6" s="1"/>
    </row>
    <row r="8" spans="1:14" ht="23.25" x14ac:dyDescent="0.35">
      <c r="A8" s="17" t="s">
        <v>163</v>
      </c>
      <c r="M8" s="17" t="s">
        <v>164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169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7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8">
        <v>10112</v>
      </c>
      <c r="B35" s="12">
        <v>10116</v>
      </c>
      <c r="C35" s="4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singhania</cp:lastModifiedBy>
  <dcterms:created xsi:type="dcterms:W3CDTF">2015-02-10T17:33:11Z</dcterms:created>
  <dcterms:modified xsi:type="dcterms:W3CDTF">2023-12-10T12:13:26Z</dcterms:modified>
</cp:coreProperties>
</file>